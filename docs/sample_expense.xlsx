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FCE3737D-0453-4E25-8706-4C53D2AB8F6D}" xr6:coauthVersionLast="47" xr6:coauthVersionMax="47" xr10:uidLastSave="{00000000-0000-0000-0000-000000000000}"/>
  <bookViews>
    <workbookView xWindow="38280" yWindow="-120" windowWidth="29040" windowHeight="15720" xr2:uid="{C801EA56-1249-4034-B1C6-5F4089667029}"/>
  </bookViews>
  <sheets>
    <sheet name="expense_main_fact" sheetId="2" r:id="rId1"/>
    <sheet name="expense_detail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2" i="2" l="1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51" i="2"/>
  <c r="C51" i="2"/>
  <c r="G51" i="2"/>
  <c r="G52" i="2"/>
  <c r="G53" i="2"/>
  <c r="G54" i="2"/>
  <c r="G55" i="2"/>
  <c r="G56" i="2"/>
  <c r="G57" i="2"/>
  <c r="G58" i="2"/>
  <c r="G59" i="2"/>
  <c r="G60" i="2"/>
  <c r="G61" i="2"/>
  <c r="G62" i="2"/>
  <c r="G4" i="2"/>
  <c r="G5" i="2"/>
  <c r="G6" i="2"/>
  <c r="G7" i="2"/>
  <c r="G8" i="2"/>
  <c r="G9" i="2"/>
  <c r="G10" i="2"/>
  <c r="G11" i="2"/>
  <c r="G12" i="2"/>
  <c r="G13" i="2"/>
  <c r="G14" i="2"/>
  <c r="G15" i="2"/>
  <c r="B15" i="2" s="1"/>
  <c r="G16" i="2"/>
  <c r="B16" i="2" s="1"/>
  <c r="G17" i="2"/>
  <c r="B17" i="2" s="1"/>
  <c r="G18" i="2"/>
  <c r="B18" i="2" s="1"/>
  <c r="G19" i="2"/>
  <c r="B19" i="2" s="1"/>
  <c r="G20" i="2"/>
  <c r="B20" i="2" s="1"/>
  <c r="G21" i="2"/>
  <c r="B21" i="2" s="1"/>
  <c r="G22" i="2"/>
  <c r="B22" i="2" s="1"/>
  <c r="G23" i="2"/>
  <c r="B23" i="2" s="1"/>
  <c r="G24" i="2"/>
  <c r="B24" i="2" s="1"/>
  <c r="G25" i="2"/>
  <c r="B25" i="2" s="1"/>
  <c r="G26" i="2"/>
  <c r="G27" i="2"/>
  <c r="G28" i="2"/>
  <c r="G29" i="2"/>
  <c r="G30" i="2"/>
  <c r="G31" i="2"/>
  <c r="G32" i="2"/>
  <c r="G33" i="2"/>
  <c r="G34" i="2"/>
  <c r="G35" i="2"/>
  <c r="G36" i="2"/>
  <c r="G37" i="2"/>
  <c r="B37" i="2" s="1"/>
  <c r="G38" i="2"/>
  <c r="B38" i="2" s="1"/>
  <c r="G39" i="2"/>
  <c r="B39" i="2" s="1"/>
  <c r="G40" i="2"/>
  <c r="B40" i="2" s="1"/>
  <c r="G41" i="2"/>
  <c r="B41" i="2" s="1"/>
  <c r="G42" i="2"/>
  <c r="B42" i="2" s="1"/>
  <c r="G43" i="2"/>
  <c r="B43" i="2" s="1"/>
  <c r="G44" i="2"/>
  <c r="B44" i="2" s="1"/>
  <c r="G45" i="2"/>
  <c r="B45" i="2" s="1"/>
  <c r="G46" i="2"/>
  <c r="B46" i="2" s="1"/>
  <c r="G47" i="2"/>
  <c r="B47" i="2" s="1"/>
  <c r="G48" i="2"/>
  <c r="G49" i="2"/>
  <c r="G50" i="2"/>
  <c r="G3" i="2"/>
  <c r="G2" i="2"/>
  <c r="B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26" i="2"/>
  <c r="B27" i="2"/>
  <c r="B28" i="2"/>
  <c r="B29" i="2"/>
  <c r="B30" i="2"/>
  <c r="B31" i="2"/>
  <c r="B32" i="2"/>
  <c r="B33" i="2"/>
  <c r="B34" i="2"/>
  <c r="B35" i="2"/>
  <c r="B36" i="2"/>
  <c r="B48" i="2"/>
  <c r="B49" i="2"/>
  <c r="B50" i="2"/>
</calcChain>
</file>

<file path=xl/sharedStrings.xml><?xml version="1.0" encoding="utf-8"?>
<sst xmlns="http://schemas.openxmlformats.org/spreadsheetml/2006/main" count="119" uniqueCount="40">
  <si>
    <t>Month_Sheet</t>
  </si>
  <si>
    <t>NET_HKD</t>
  </si>
  <si>
    <t>NET_CNY</t>
  </si>
  <si>
    <t>budget_生活费_HKD</t>
  </si>
  <si>
    <t>budget_私房钱_CNY</t>
  </si>
  <si>
    <t>Total_补贴_HKD</t>
  </si>
  <si>
    <t>Total_扣减_HKD</t>
  </si>
  <si>
    <t>Total_补贴_CNY</t>
  </si>
  <si>
    <t>Total_扣减_CNY</t>
  </si>
  <si>
    <t>扣减_信用卡</t>
  </si>
  <si>
    <t>扣减_信用卡(BEA/6330)</t>
  </si>
  <si>
    <t>扣减_信用卡(DBS/1001)</t>
  </si>
  <si>
    <t>扣减_信用卡(DBS/867)</t>
  </si>
  <si>
    <t>扣减_信用卡(HS-EnjoyVisa/1590)</t>
  </si>
  <si>
    <t>扣减_信用卡(HS-UnionPay/8708)</t>
  </si>
  <si>
    <t>Amount</t>
  </si>
  <si>
    <t>Currency</t>
  </si>
  <si>
    <t>Category</t>
  </si>
  <si>
    <t>Detail</t>
  </si>
  <si>
    <t>HKD</t>
  </si>
  <si>
    <t>迪士尼</t>
  </si>
  <si>
    <t>补贴</t>
  </si>
  <si>
    <t>阿姨工资</t>
  </si>
  <si>
    <t>额外补助</t>
  </si>
  <si>
    <t>CNY</t>
  </si>
  <si>
    <t>补助</t>
  </si>
  <si>
    <t>农历年机票补贴</t>
  </si>
  <si>
    <t>机票补贴</t>
  </si>
  <si>
    <t>汽车保险</t>
  </si>
  <si>
    <t>海南旅游补贴</t>
  </si>
  <si>
    <t>环球门票补贴</t>
  </si>
  <si>
    <t>珠海旅游</t>
  </si>
  <si>
    <t>越南旅行</t>
  </si>
  <si>
    <t>酒店补贴</t>
  </si>
  <si>
    <t>飞船酒店旅游补贴</t>
  </si>
  <si>
    <t>扣减</t>
  </si>
  <si>
    <t>咖啡机和彩光仪礼物</t>
  </si>
  <si>
    <t>玩具-照相机</t>
  </si>
  <si>
    <t>玩具-照相机-欠款</t>
  </si>
  <si>
    <t>CNY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</si>
</sst>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3" fontId="0" fillId="0" borderId="0" xfId="1" applyFont="1">
      <alignment vertical="center"/>
    </xf>
    <xf numFmtId="0" fontId="0" fillId="2" borderId="0" xfId="0" applyFill="1">
      <alignment vertical="center"/>
    </xf>
    <xf numFmtId="43" fontId="0" fillId="2" borderId="0" xfId="1" applyFont="1" applyFill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6436-7419-456D-B0B9-84D94B5D7D1C}">
  <dimension ref="A1:O62"/>
  <sheetViews>
    <sheetView tabSelected="1" zoomScale="85" zoomScaleNormal="85"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J61" sqref="J61"/>
    </sheetView>
  </sheetViews>
  <sheetFormatPr defaultRowHeight="14"/>
  <cols>
    <col min="1" max="1" width="12.5" bestFit="1" customWidth="1"/>
    <col min="2" max="3" width="11.33203125" style="1" bestFit="1" customWidth="1"/>
    <col min="4" max="4" width="19" bestFit="1" customWidth="1"/>
    <col min="5" max="5" width="19" style="1" bestFit="1" customWidth="1"/>
    <col min="6" max="9" width="14.83203125" style="1" bestFit="1" customWidth="1"/>
    <col min="10" max="10" width="11.75" bestFit="1" customWidth="1"/>
    <col min="11" max="12" width="21.75" bestFit="1" customWidth="1"/>
    <col min="13" max="13" width="20.58203125" bestFit="1" customWidth="1"/>
    <col min="14" max="15" width="30.25" bestFit="1" customWidth="1"/>
  </cols>
  <sheetData>
    <row r="1" spans="1:15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202112</v>
      </c>
      <c r="B2" s="1">
        <f>D2+F2-G2</f>
        <v>12340</v>
      </c>
      <c r="C2" s="1">
        <f>E2+H2-I2</f>
        <v>12000</v>
      </c>
      <c r="D2">
        <v>12000</v>
      </c>
      <c r="E2" s="1">
        <v>12000</v>
      </c>
      <c r="F2" s="1">
        <v>9600</v>
      </c>
      <c r="G2" s="1">
        <f>SUM(J2:O2)</f>
        <v>9260</v>
      </c>
      <c r="H2" s="1">
        <v>0</v>
      </c>
      <c r="I2" s="1">
        <v>0</v>
      </c>
      <c r="J2">
        <v>9260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>
        <v>202201</v>
      </c>
      <c r="B3" s="1">
        <f t="shared" ref="B3:B50" si="0">D3+F3-G3</f>
        <v>11383</v>
      </c>
      <c r="C3" s="1">
        <f t="shared" ref="C3:C50" si="1">E3+H3-I3</f>
        <v>5000</v>
      </c>
      <c r="D3">
        <v>12000</v>
      </c>
      <c r="E3" s="1">
        <v>5000</v>
      </c>
      <c r="F3" s="1">
        <v>9600</v>
      </c>
      <c r="G3" s="1">
        <f>SUM(J3:O3)</f>
        <v>10217</v>
      </c>
      <c r="H3" s="1">
        <v>0</v>
      </c>
      <c r="I3" s="1">
        <v>0</v>
      </c>
      <c r="J3">
        <v>10217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>
        <v>202202</v>
      </c>
      <c r="B4" s="1">
        <f t="shared" si="0"/>
        <v>12534</v>
      </c>
      <c r="C4" s="1">
        <f t="shared" si="1"/>
        <v>5000</v>
      </c>
      <c r="D4">
        <v>12000</v>
      </c>
      <c r="E4" s="1">
        <v>5000</v>
      </c>
      <c r="F4" s="1">
        <v>9600</v>
      </c>
      <c r="G4" s="1">
        <f t="shared" ref="G4:G67" si="2">SUM(J4:O4)</f>
        <v>9066</v>
      </c>
      <c r="H4" s="1">
        <v>0</v>
      </c>
      <c r="I4" s="1">
        <v>0</v>
      </c>
      <c r="J4">
        <v>9066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202203</v>
      </c>
      <c r="B5" s="1">
        <f t="shared" si="0"/>
        <v>44</v>
      </c>
      <c r="C5" s="1">
        <f t="shared" si="1"/>
        <v>5000</v>
      </c>
      <c r="D5">
        <v>12000</v>
      </c>
      <c r="E5" s="1">
        <v>5000</v>
      </c>
      <c r="F5" s="1">
        <v>0</v>
      </c>
      <c r="G5" s="1">
        <f t="shared" si="2"/>
        <v>11956</v>
      </c>
      <c r="H5" s="1">
        <v>0</v>
      </c>
      <c r="I5" s="1">
        <v>0</v>
      </c>
      <c r="J5">
        <v>11956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>
        <v>202204</v>
      </c>
      <c r="B6" s="1">
        <f t="shared" si="0"/>
        <v>7117</v>
      </c>
      <c r="C6" s="1">
        <f t="shared" si="1"/>
        <v>-718</v>
      </c>
      <c r="D6">
        <v>12000</v>
      </c>
      <c r="E6" s="1">
        <v>5000</v>
      </c>
      <c r="F6" s="1">
        <v>9900</v>
      </c>
      <c r="G6" s="1">
        <f t="shared" si="2"/>
        <v>14783</v>
      </c>
      <c r="H6" s="1">
        <v>0</v>
      </c>
      <c r="I6" s="1">
        <v>5718</v>
      </c>
      <c r="J6">
        <v>14783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>
        <v>202205</v>
      </c>
      <c r="B7" s="1">
        <f t="shared" si="0"/>
        <v>11818</v>
      </c>
      <c r="C7" s="1">
        <f t="shared" si="1"/>
        <v>6000</v>
      </c>
      <c r="D7">
        <v>12000</v>
      </c>
      <c r="E7" s="1">
        <v>5000</v>
      </c>
      <c r="F7" s="1">
        <v>11350</v>
      </c>
      <c r="G7" s="1">
        <f t="shared" si="2"/>
        <v>11532</v>
      </c>
      <c r="H7" s="1">
        <v>1000</v>
      </c>
      <c r="I7" s="1">
        <v>0</v>
      </c>
      <c r="J7">
        <v>0</v>
      </c>
      <c r="K7">
        <v>1541</v>
      </c>
      <c r="L7">
        <v>9991</v>
      </c>
      <c r="M7">
        <v>0</v>
      </c>
      <c r="N7">
        <v>0</v>
      </c>
      <c r="O7">
        <v>0</v>
      </c>
    </row>
    <row r="8" spans="1:15">
      <c r="A8">
        <v>202206</v>
      </c>
      <c r="B8" s="1">
        <f t="shared" si="0"/>
        <v>13538</v>
      </c>
      <c r="C8" s="1">
        <f t="shared" si="1"/>
        <v>5000</v>
      </c>
      <c r="D8">
        <v>12000</v>
      </c>
      <c r="E8" s="1">
        <v>5000</v>
      </c>
      <c r="F8" s="1">
        <v>9600</v>
      </c>
      <c r="G8" s="1">
        <f t="shared" si="2"/>
        <v>8062</v>
      </c>
      <c r="H8" s="1">
        <v>0</v>
      </c>
      <c r="I8" s="1">
        <v>0</v>
      </c>
      <c r="J8">
        <v>0</v>
      </c>
      <c r="K8">
        <v>0</v>
      </c>
      <c r="L8">
        <v>8062</v>
      </c>
      <c r="M8">
        <v>0</v>
      </c>
      <c r="N8">
        <v>0</v>
      </c>
      <c r="O8">
        <v>0</v>
      </c>
    </row>
    <row r="9" spans="1:15">
      <c r="A9">
        <v>202207</v>
      </c>
      <c r="B9" s="1">
        <f t="shared" si="0"/>
        <v>7919</v>
      </c>
      <c r="C9" s="1">
        <f t="shared" si="1"/>
        <v>5000</v>
      </c>
      <c r="D9">
        <v>12000</v>
      </c>
      <c r="E9" s="1">
        <v>5000</v>
      </c>
      <c r="F9" s="1">
        <v>9600</v>
      </c>
      <c r="G9" s="1">
        <f t="shared" si="2"/>
        <v>13681</v>
      </c>
      <c r="H9" s="1">
        <v>0</v>
      </c>
      <c r="I9" s="1">
        <v>0</v>
      </c>
      <c r="J9">
        <v>0</v>
      </c>
      <c r="K9">
        <v>906</v>
      </c>
      <c r="L9">
        <v>12775</v>
      </c>
      <c r="M9">
        <v>0</v>
      </c>
      <c r="N9">
        <v>0</v>
      </c>
      <c r="O9">
        <v>0</v>
      </c>
    </row>
    <row r="10" spans="1:15">
      <c r="A10">
        <v>202208</v>
      </c>
      <c r="B10" s="1">
        <f t="shared" si="0"/>
        <v>10938</v>
      </c>
      <c r="C10" s="1">
        <f t="shared" si="1"/>
        <v>5000</v>
      </c>
      <c r="D10">
        <v>12000</v>
      </c>
      <c r="E10" s="1">
        <v>5000</v>
      </c>
      <c r="F10" s="1">
        <v>9600</v>
      </c>
      <c r="G10" s="1">
        <f t="shared" si="2"/>
        <v>10662</v>
      </c>
      <c r="H10" s="1">
        <v>0</v>
      </c>
      <c r="I10" s="1">
        <v>0</v>
      </c>
      <c r="J10">
        <v>0</v>
      </c>
      <c r="K10">
        <v>463</v>
      </c>
      <c r="L10">
        <v>10199</v>
      </c>
      <c r="M10">
        <v>0</v>
      </c>
      <c r="N10">
        <v>0</v>
      </c>
      <c r="O10">
        <v>0</v>
      </c>
    </row>
    <row r="11" spans="1:15">
      <c r="A11">
        <v>202209</v>
      </c>
      <c r="B11" s="1">
        <f t="shared" si="0"/>
        <v>6599</v>
      </c>
      <c r="C11" s="1">
        <f t="shared" si="1"/>
        <v>5000</v>
      </c>
      <c r="D11">
        <v>12000</v>
      </c>
      <c r="E11" s="1">
        <v>5000</v>
      </c>
      <c r="F11" s="1">
        <v>9600</v>
      </c>
      <c r="G11" s="1">
        <f t="shared" si="2"/>
        <v>15001</v>
      </c>
      <c r="H11" s="1">
        <v>0</v>
      </c>
      <c r="I11" s="1">
        <v>0</v>
      </c>
      <c r="J11">
        <v>0</v>
      </c>
      <c r="K11">
        <v>2425</v>
      </c>
      <c r="L11">
        <v>12576</v>
      </c>
      <c r="M11">
        <v>0</v>
      </c>
      <c r="N11">
        <v>0</v>
      </c>
      <c r="O11">
        <v>0</v>
      </c>
    </row>
    <row r="12" spans="1:15">
      <c r="A12">
        <v>202210</v>
      </c>
      <c r="B12" s="1">
        <f t="shared" si="0"/>
        <v>12112</v>
      </c>
      <c r="C12" s="1">
        <f t="shared" si="1"/>
        <v>5000</v>
      </c>
      <c r="D12">
        <v>12000</v>
      </c>
      <c r="E12" s="1">
        <v>5000</v>
      </c>
      <c r="F12" s="1">
        <v>10800</v>
      </c>
      <c r="G12" s="1">
        <f t="shared" si="2"/>
        <v>10688</v>
      </c>
      <c r="H12" s="1">
        <v>0</v>
      </c>
      <c r="I12" s="1">
        <v>0</v>
      </c>
      <c r="J12">
        <v>0</v>
      </c>
      <c r="K12">
        <v>293</v>
      </c>
      <c r="L12">
        <v>10395</v>
      </c>
      <c r="M12">
        <v>0</v>
      </c>
      <c r="N12">
        <v>0</v>
      </c>
      <c r="O12">
        <v>0</v>
      </c>
    </row>
    <row r="13" spans="1:15">
      <c r="A13">
        <v>202211</v>
      </c>
      <c r="B13" s="1">
        <f t="shared" si="0"/>
        <v>4614</v>
      </c>
      <c r="C13" s="1">
        <f t="shared" si="1"/>
        <v>5000</v>
      </c>
      <c r="D13">
        <v>15000</v>
      </c>
      <c r="E13" s="1">
        <v>5000</v>
      </c>
      <c r="F13" s="1">
        <v>0</v>
      </c>
      <c r="G13" s="1">
        <f t="shared" si="2"/>
        <v>10386</v>
      </c>
      <c r="H13" s="1">
        <v>0</v>
      </c>
      <c r="I13" s="1">
        <v>0</v>
      </c>
      <c r="J13">
        <v>0</v>
      </c>
      <c r="K13">
        <v>533</v>
      </c>
      <c r="L13">
        <v>9853</v>
      </c>
      <c r="M13">
        <v>0</v>
      </c>
      <c r="N13">
        <v>0</v>
      </c>
      <c r="O13">
        <v>0</v>
      </c>
    </row>
    <row r="14" spans="1:15">
      <c r="A14">
        <v>202212</v>
      </c>
      <c r="B14" s="1">
        <f t="shared" si="0"/>
        <v>2549</v>
      </c>
      <c r="C14" s="1">
        <f t="shared" si="1"/>
        <v>5000</v>
      </c>
      <c r="D14">
        <v>15000</v>
      </c>
      <c r="E14" s="1">
        <v>5000</v>
      </c>
      <c r="F14" s="1">
        <v>0</v>
      </c>
      <c r="G14" s="1">
        <f t="shared" si="2"/>
        <v>12451</v>
      </c>
      <c r="H14" s="1">
        <v>0</v>
      </c>
      <c r="I14" s="1">
        <v>0</v>
      </c>
      <c r="J14">
        <v>0</v>
      </c>
      <c r="K14">
        <v>0</v>
      </c>
      <c r="L14">
        <v>12451</v>
      </c>
      <c r="M14">
        <v>0</v>
      </c>
      <c r="N14">
        <v>0</v>
      </c>
      <c r="O14">
        <v>0</v>
      </c>
    </row>
    <row r="15" spans="1:15">
      <c r="A15">
        <v>202301</v>
      </c>
      <c r="B15" s="1">
        <f t="shared" si="0"/>
        <v>-2635</v>
      </c>
      <c r="C15" s="1">
        <f t="shared" si="1"/>
        <v>5000</v>
      </c>
      <c r="D15">
        <v>15000</v>
      </c>
      <c r="E15" s="1">
        <v>5000</v>
      </c>
      <c r="F15" s="1">
        <v>0</v>
      </c>
      <c r="G15" s="1">
        <f t="shared" si="2"/>
        <v>17635</v>
      </c>
      <c r="H15" s="1">
        <v>0</v>
      </c>
      <c r="I15" s="1">
        <v>0</v>
      </c>
      <c r="J15">
        <v>0</v>
      </c>
      <c r="K15">
        <v>8322</v>
      </c>
      <c r="L15">
        <v>9313</v>
      </c>
      <c r="M15">
        <v>0</v>
      </c>
      <c r="N15">
        <v>0</v>
      </c>
      <c r="O15">
        <v>0</v>
      </c>
    </row>
    <row r="16" spans="1:15">
      <c r="A16">
        <v>202302</v>
      </c>
      <c r="B16" s="1">
        <f t="shared" si="0"/>
        <v>2299</v>
      </c>
      <c r="C16" s="1">
        <f t="shared" si="1"/>
        <v>5000</v>
      </c>
      <c r="D16">
        <v>15000</v>
      </c>
      <c r="E16" s="1">
        <v>5000</v>
      </c>
      <c r="F16" s="1">
        <v>0</v>
      </c>
      <c r="G16" s="1">
        <f t="shared" si="2"/>
        <v>12701</v>
      </c>
      <c r="H16" s="1">
        <v>0</v>
      </c>
      <c r="I16" s="1">
        <v>0</v>
      </c>
      <c r="J16">
        <v>0</v>
      </c>
      <c r="K16">
        <v>1880</v>
      </c>
      <c r="L16">
        <v>10821</v>
      </c>
      <c r="M16">
        <v>0</v>
      </c>
      <c r="N16">
        <v>0</v>
      </c>
      <c r="O16">
        <v>0</v>
      </c>
    </row>
    <row r="17" spans="1:15">
      <c r="A17">
        <v>202303</v>
      </c>
      <c r="B17" s="1">
        <f t="shared" si="0"/>
        <v>7092</v>
      </c>
      <c r="C17" s="1">
        <f t="shared" si="1"/>
        <v>5000</v>
      </c>
      <c r="D17">
        <v>15000</v>
      </c>
      <c r="E17" s="1">
        <v>5000</v>
      </c>
      <c r="F17" s="1">
        <v>0</v>
      </c>
      <c r="G17" s="1">
        <f t="shared" si="2"/>
        <v>7908</v>
      </c>
      <c r="H17" s="1">
        <v>0</v>
      </c>
      <c r="I17" s="1">
        <v>0</v>
      </c>
      <c r="J17">
        <v>0</v>
      </c>
      <c r="K17">
        <v>288</v>
      </c>
      <c r="L17">
        <v>6165</v>
      </c>
      <c r="M17">
        <v>0</v>
      </c>
      <c r="N17">
        <v>882</v>
      </c>
      <c r="O17">
        <v>573</v>
      </c>
    </row>
    <row r="18" spans="1:15">
      <c r="A18">
        <v>202304</v>
      </c>
      <c r="B18" s="1">
        <f t="shared" si="0"/>
        <v>8528</v>
      </c>
      <c r="C18" s="1">
        <f t="shared" si="1"/>
        <v>5000</v>
      </c>
      <c r="D18">
        <v>15000</v>
      </c>
      <c r="E18" s="1">
        <v>5000</v>
      </c>
      <c r="F18" s="1">
        <v>0</v>
      </c>
      <c r="G18" s="1">
        <f t="shared" si="2"/>
        <v>6472</v>
      </c>
      <c r="H18" s="1">
        <v>0</v>
      </c>
      <c r="I18" s="1">
        <v>0</v>
      </c>
      <c r="J18">
        <v>0</v>
      </c>
      <c r="K18">
        <v>0</v>
      </c>
      <c r="L18">
        <v>5332</v>
      </c>
      <c r="M18">
        <v>0</v>
      </c>
      <c r="N18">
        <v>1140</v>
      </c>
      <c r="O18">
        <v>0</v>
      </c>
    </row>
    <row r="19" spans="1:15">
      <c r="A19">
        <v>202305</v>
      </c>
      <c r="B19" s="1">
        <f t="shared" si="0"/>
        <v>6007</v>
      </c>
      <c r="C19" s="1">
        <f t="shared" si="1"/>
        <v>9000</v>
      </c>
      <c r="D19">
        <v>15000</v>
      </c>
      <c r="E19" s="1">
        <v>5000</v>
      </c>
      <c r="F19" s="1">
        <v>0</v>
      </c>
      <c r="G19" s="1">
        <f t="shared" si="2"/>
        <v>8993</v>
      </c>
      <c r="H19" s="1">
        <v>4000</v>
      </c>
      <c r="I19" s="1">
        <v>0</v>
      </c>
      <c r="J19">
        <v>0</v>
      </c>
      <c r="K19">
        <v>0</v>
      </c>
      <c r="L19">
        <v>8067</v>
      </c>
      <c r="M19">
        <v>0</v>
      </c>
      <c r="N19">
        <v>692</v>
      </c>
      <c r="O19">
        <v>234</v>
      </c>
    </row>
    <row r="20" spans="1:15">
      <c r="A20">
        <v>202306</v>
      </c>
      <c r="B20" s="1">
        <f t="shared" si="0"/>
        <v>3694</v>
      </c>
      <c r="C20" s="1">
        <f t="shared" si="1"/>
        <v>9000</v>
      </c>
      <c r="D20">
        <v>15000</v>
      </c>
      <c r="E20" s="1">
        <v>5000</v>
      </c>
      <c r="F20" s="1">
        <v>0</v>
      </c>
      <c r="G20" s="1">
        <f t="shared" si="2"/>
        <v>11306</v>
      </c>
      <c r="H20" s="1">
        <v>4000</v>
      </c>
      <c r="I20" s="1">
        <v>0</v>
      </c>
      <c r="J20">
        <v>0</v>
      </c>
      <c r="K20">
        <v>0</v>
      </c>
      <c r="L20">
        <v>11087</v>
      </c>
      <c r="M20">
        <v>0</v>
      </c>
      <c r="N20">
        <v>219</v>
      </c>
      <c r="O20">
        <v>0</v>
      </c>
    </row>
    <row r="21" spans="1:15">
      <c r="A21">
        <v>202307</v>
      </c>
      <c r="B21" s="1">
        <f t="shared" si="0"/>
        <v>-3042</v>
      </c>
      <c r="C21" s="1">
        <f t="shared" si="1"/>
        <v>5000</v>
      </c>
      <c r="D21">
        <v>15000</v>
      </c>
      <c r="E21" s="1">
        <v>5000</v>
      </c>
      <c r="F21" s="1">
        <v>0</v>
      </c>
      <c r="G21" s="1">
        <f t="shared" si="2"/>
        <v>18042</v>
      </c>
      <c r="H21" s="1">
        <v>0</v>
      </c>
      <c r="I21" s="1">
        <v>0</v>
      </c>
      <c r="J21">
        <v>0</v>
      </c>
      <c r="K21">
        <v>6361</v>
      </c>
      <c r="L21">
        <v>11681</v>
      </c>
      <c r="M21">
        <v>0</v>
      </c>
      <c r="N21">
        <v>0</v>
      </c>
      <c r="O21">
        <v>0</v>
      </c>
    </row>
    <row r="22" spans="1:15">
      <c r="A22">
        <v>202308</v>
      </c>
      <c r="B22" s="1">
        <f t="shared" si="0"/>
        <v>3558</v>
      </c>
      <c r="C22" s="1">
        <f t="shared" si="1"/>
        <v>5000</v>
      </c>
      <c r="D22">
        <v>15000</v>
      </c>
      <c r="E22" s="1">
        <v>5000</v>
      </c>
      <c r="F22" s="1">
        <v>0</v>
      </c>
      <c r="G22" s="1">
        <f t="shared" si="2"/>
        <v>11442</v>
      </c>
      <c r="H22" s="1">
        <v>0</v>
      </c>
      <c r="I22" s="1">
        <v>0</v>
      </c>
      <c r="J22">
        <v>0</v>
      </c>
      <c r="K22">
        <v>1830</v>
      </c>
      <c r="L22">
        <v>9612</v>
      </c>
      <c r="M22">
        <v>0</v>
      </c>
      <c r="N22">
        <v>0</v>
      </c>
      <c r="O22">
        <v>0</v>
      </c>
    </row>
    <row r="23" spans="1:15">
      <c r="A23">
        <v>202309</v>
      </c>
      <c r="B23" s="1">
        <f t="shared" si="0"/>
        <v>5638</v>
      </c>
      <c r="C23" s="1">
        <f t="shared" si="1"/>
        <v>15000</v>
      </c>
      <c r="D23">
        <v>15000</v>
      </c>
      <c r="E23" s="1">
        <v>5000</v>
      </c>
      <c r="F23" s="1">
        <v>0</v>
      </c>
      <c r="G23" s="1">
        <f t="shared" si="2"/>
        <v>9362</v>
      </c>
      <c r="H23" s="1">
        <v>10000</v>
      </c>
      <c r="I23" s="1">
        <v>0</v>
      </c>
      <c r="J23">
        <v>0</v>
      </c>
      <c r="K23">
        <v>898</v>
      </c>
      <c r="L23">
        <v>8464</v>
      </c>
      <c r="M23">
        <v>0</v>
      </c>
      <c r="N23">
        <v>0</v>
      </c>
      <c r="O23">
        <v>0</v>
      </c>
    </row>
    <row r="24" spans="1:15">
      <c r="A24">
        <v>202310</v>
      </c>
      <c r="B24" s="1">
        <f t="shared" si="0"/>
        <v>2563</v>
      </c>
      <c r="C24" s="1">
        <f t="shared" si="1"/>
        <v>5000</v>
      </c>
      <c r="D24">
        <v>15000</v>
      </c>
      <c r="E24" s="1">
        <v>5000</v>
      </c>
      <c r="F24" s="1">
        <v>0</v>
      </c>
      <c r="G24" s="1">
        <f t="shared" si="2"/>
        <v>12437</v>
      </c>
      <c r="H24" s="1">
        <v>0</v>
      </c>
      <c r="I24" s="1">
        <v>0</v>
      </c>
      <c r="J24">
        <v>0</v>
      </c>
      <c r="K24">
        <v>495</v>
      </c>
      <c r="L24">
        <v>11942</v>
      </c>
      <c r="M24">
        <v>0</v>
      </c>
      <c r="N24">
        <v>0</v>
      </c>
      <c r="O24">
        <v>0</v>
      </c>
    </row>
    <row r="25" spans="1:15">
      <c r="A25">
        <v>202311</v>
      </c>
      <c r="B25" s="1">
        <f t="shared" si="0"/>
        <v>2520</v>
      </c>
      <c r="C25" s="1">
        <f t="shared" si="1"/>
        <v>5000</v>
      </c>
      <c r="D25">
        <v>15000</v>
      </c>
      <c r="E25" s="1">
        <v>5000</v>
      </c>
      <c r="F25" s="1">
        <v>0</v>
      </c>
      <c r="G25" s="1">
        <f t="shared" si="2"/>
        <v>12480</v>
      </c>
      <c r="H25" s="1">
        <v>0</v>
      </c>
      <c r="I25" s="1">
        <v>0</v>
      </c>
      <c r="J25">
        <v>0</v>
      </c>
      <c r="K25">
        <v>2700</v>
      </c>
      <c r="L25">
        <v>7675</v>
      </c>
      <c r="M25">
        <v>0</v>
      </c>
      <c r="N25">
        <v>2105</v>
      </c>
      <c r="O25">
        <v>0</v>
      </c>
    </row>
    <row r="26" spans="1:15">
      <c r="A26">
        <v>202312</v>
      </c>
      <c r="B26" s="1">
        <f t="shared" si="0"/>
        <v>2822</v>
      </c>
      <c r="C26" s="1">
        <f t="shared" si="1"/>
        <v>5000</v>
      </c>
      <c r="D26">
        <v>15000</v>
      </c>
      <c r="E26" s="1">
        <v>5000</v>
      </c>
      <c r="F26" s="1">
        <v>0</v>
      </c>
      <c r="G26" s="1">
        <f t="shared" si="2"/>
        <v>12178</v>
      </c>
      <c r="H26" s="1">
        <v>0</v>
      </c>
      <c r="I26" s="1">
        <v>0</v>
      </c>
      <c r="J26">
        <v>0</v>
      </c>
      <c r="K26">
        <v>1735</v>
      </c>
      <c r="L26">
        <v>9095</v>
      </c>
      <c r="M26">
        <v>0</v>
      </c>
      <c r="N26">
        <v>1348</v>
      </c>
      <c r="O26">
        <v>0</v>
      </c>
    </row>
    <row r="27" spans="1:15">
      <c r="A27">
        <v>202401</v>
      </c>
      <c r="B27" s="1">
        <f t="shared" si="0"/>
        <v>1616</v>
      </c>
      <c r="C27" s="1">
        <f t="shared" si="1"/>
        <v>5000</v>
      </c>
      <c r="D27">
        <v>15000</v>
      </c>
      <c r="E27" s="1">
        <v>5000</v>
      </c>
      <c r="F27" s="1">
        <v>2082</v>
      </c>
      <c r="G27" s="1">
        <f t="shared" si="2"/>
        <v>15466</v>
      </c>
      <c r="H27" s="1">
        <v>0</v>
      </c>
      <c r="I27" s="1">
        <v>0</v>
      </c>
      <c r="J27">
        <v>0</v>
      </c>
      <c r="K27">
        <v>2969</v>
      </c>
      <c r="L27">
        <v>10902</v>
      </c>
      <c r="M27">
        <v>0</v>
      </c>
      <c r="N27">
        <v>1595</v>
      </c>
      <c r="O27">
        <v>0</v>
      </c>
    </row>
    <row r="28" spans="1:15">
      <c r="A28">
        <v>202402</v>
      </c>
      <c r="B28" s="1">
        <f t="shared" si="0"/>
        <v>4157</v>
      </c>
      <c r="C28" s="1">
        <f t="shared" si="1"/>
        <v>7327</v>
      </c>
      <c r="D28">
        <v>15000</v>
      </c>
      <c r="E28" s="1">
        <v>5000</v>
      </c>
      <c r="F28" s="1">
        <v>0</v>
      </c>
      <c r="G28" s="1">
        <f t="shared" si="2"/>
        <v>10843</v>
      </c>
      <c r="H28" s="1">
        <v>2327</v>
      </c>
      <c r="I28" s="1">
        <v>0</v>
      </c>
      <c r="J28">
        <v>0</v>
      </c>
      <c r="K28">
        <v>3702</v>
      </c>
      <c r="L28">
        <v>5873</v>
      </c>
      <c r="M28">
        <v>0</v>
      </c>
      <c r="N28">
        <v>1268</v>
      </c>
      <c r="O28">
        <v>0</v>
      </c>
    </row>
    <row r="29" spans="1:15">
      <c r="A29">
        <v>202403</v>
      </c>
      <c r="B29" s="1">
        <f t="shared" si="0"/>
        <v>4475</v>
      </c>
      <c r="C29" s="1">
        <f t="shared" si="1"/>
        <v>5000</v>
      </c>
      <c r="D29">
        <v>15000</v>
      </c>
      <c r="E29" s="1">
        <v>5000</v>
      </c>
      <c r="F29" s="1">
        <v>0</v>
      </c>
      <c r="G29" s="1">
        <f t="shared" si="2"/>
        <v>10525</v>
      </c>
      <c r="H29" s="1">
        <v>0</v>
      </c>
      <c r="I29" s="1">
        <v>0</v>
      </c>
      <c r="J29">
        <v>0</v>
      </c>
      <c r="K29">
        <v>999</v>
      </c>
      <c r="L29">
        <v>8026</v>
      </c>
      <c r="M29">
        <v>0</v>
      </c>
      <c r="N29">
        <v>1500</v>
      </c>
      <c r="O29">
        <v>0</v>
      </c>
    </row>
    <row r="30" spans="1:15">
      <c r="A30">
        <v>202404</v>
      </c>
      <c r="B30" s="1">
        <f t="shared" si="0"/>
        <v>5921</v>
      </c>
      <c r="C30" s="1">
        <f t="shared" si="1"/>
        <v>17482</v>
      </c>
      <c r="D30">
        <v>15000</v>
      </c>
      <c r="E30" s="1">
        <v>5000</v>
      </c>
      <c r="F30" s="1">
        <v>0</v>
      </c>
      <c r="G30" s="1">
        <f t="shared" si="2"/>
        <v>9079</v>
      </c>
      <c r="H30" s="1">
        <v>12482</v>
      </c>
      <c r="I30" s="1">
        <v>0</v>
      </c>
      <c r="J30">
        <v>0</v>
      </c>
      <c r="K30">
        <v>246</v>
      </c>
      <c r="L30">
        <v>0</v>
      </c>
      <c r="M30">
        <v>7246</v>
      </c>
      <c r="N30">
        <v>1587</v>
      </c>
      <c r="O30">
        <v>0</v>
      </c>
    </row>
    <row r="31" spans="1:15">
      <c r="A31">
        <v>202405</v>
      </c>
      <c r="B31" s="1">
        <f t="shared" si="0"/>
        <v>3780</v>
      </c>
      <c r="C31" s="1">
        <f t="shared" si="1"/>
        <v>-864</v>
      </c>
      <c r="D31">
        <v>15000</v>
      </c>
      <c r="E31" s="1">
        <v>5000</v>
      </c>
      <c r="F31" s="1">
        <v>0</v>
      </c>
      <c r="G31" s="1">
        <f t="shared" si="2"/>
        <v>11220</v>
      </c>
      <c r="H31" s="1">
        <v>0</v>
      </c>
      <c r="I31" s="1">
        <v>5864</v>
      </c>
      <c r="J31">
        <v>0</v>
      </c>
      <c r="K31">
        <v>3603</v>
      </c>
      <c r="L31">
        <v>3924</v>
      </c>
      <c r="M31">
        <v>0</v>
      </c>
      <c r="N31">
        <v>3693</v>
      </c>
      <c r="O31">
        <v>0</v>
      </c>
    </row>
    <row r="32" spans="1:15">
      <c r="A32">
        <v>202406</v>
      </c>
      <c r="B32" s="1">
        <f t="shared" si="0"/>
        <v>2013</v>
      </c>
      <c r="C32" s="1">
        <f t="shared" si="1"/>
        <v>2916</v>
      </c>
      <c r="D32">
        <v>15000</v>
      </c>
      <c r="E32" s="1">
        <v>5000</v>
      </c>
      <c r="F32" s="1">
        <v>0</v>
      </c>
      <c r="G32" s="1">
        <f t="shared" si="2"/>
        <v>12987</v>
      </c>
      <c r="H32" s="1">
        <v>0</v>
      </c>
      <c r="I32" s="1">
        <v>2084</v>
      </c>
      <c r="J32">
        <v>0</v>
      </c>
      <c r="K32">
        <v>3603</v>
      </c>
      <c r="L32">
        <v>8013</v>
      </c>
      <c r="M32">
        <v>0</v>
      </c>
      <c r="N32">
        <v>1371</v>
      </c>
      <c r="O32">
        <v>0</v>
      </c>
    </row>
    <row r="33" spans="1:15">
      <c r="A33">
        <v>202407</v>
      </c>
      <c r="B33" s="1">
        <f t="shared" si="0"/>
        <v>3338</v>
      </c>
      <c r="C33" s="1">
        <f t="shared" si="1"/>
        <v>5000</v>
      </c>
      <c r="D33">
        <v>15000</v>
      </c>
      <c r="E33" s="1">
        <v>5000</v>
      </c>
      <c r="F33" s="1">
        <v>0</v>
      </c>
      <c r="G33" s="1">
        <f t="shared" si="2"/>
        <v>11662</v>
      </c>
      <c r="H33" s="1">
        <v>0</v>
      </c>
      <c r="I33" s="1">
        <v>0</v>
      </c>
      <c r="J33">
        <v>0</v>
      </c>
      <c r="K33">
        <v>1088</v>
      </c>
      <c r="L33">
        <v>6429</v>
      </c>
      <c r="M33">
        <v>0</v>
      </c>
      <c r="N33">
        <v>4145</v>
      </c>
      <c r="O33">
        <v>0</v>
      </c>
    </row>
    <row r="34" spans="1:15">
      <c r="A34">
        <v>202408</v>
      </c>
      <c r="B34" s="1">
        <f t="shared" si="0"/>
        <v>-7257</v>
      </c>
      <c r="C34" s="1">
        <f t="shared" si="1"/>
        <v>5000</v>
      </c>
      <c r="D34">
        <v>15000</v>
      </c>
      <c r="E34" s="1">
        <v>5000</v>
      </c>
      <c r="F34" s="1">
        <v>-5246</v>
      </c>
      <c r="G34" s="1">
        <f t="shared" si="2"/>
        <v>17011</v>
      </c>
      <c r="H34" s="1">
        <v>0</v>
      </c>
      <c r="I34" s="1">
        <v>0</v>
      </c>
      <c r="J34">
        <v>0</v>
      </c>
      <c r="K34">
        <v>5815</v>
      </c>
      <c r="L34">
        <v>6562</v>
      </c>
      <c r="M34">
        <v>0</v>
      </c>
      <c r="N34">
        <v>4634</v>
      </c>
      <c r="O34">
        <v>0</v>
      </c>
    </row>
    <row r="35" spans="1:15">
      <c r="A35">
        <v>202409</v>
      </c>
      <c r="B35" s="1">
        <f t="shared" si="0"/>
        <v>5891</v>
      </c>
      <c r="C35" s="1">
        <f t="shared" si="1"/>
        <v>5000</v>
      </c>
      <c r="D35">
        <v>15000</v>
      </c>
      <c r="E35" s="1">
        <v>5000</v>
      </c>
      <c r="F35" s="1">
        <v>0</v>
      </c>
      <c r="G35" s="1">
        <f t="shared" si="2"/>
        <v>9109</v>
      </c>
      <c r="H35" s="1">
        <v>0</v>
      </c>
      <c r="I35" s="1">
        <v>0</v>
      </c>
      <c r="J35">
        <v>0</v>
      </c>
      <c r="K35">
        <v>334</v>
      </c>
      <c r="L35">
        <v>6407</v>
      </c>
      <c r="M35">
        <v>0</v>
      </c>
      <c r="N35">
        <v>2368</v>
      </c>
      <c r="O35">
        <v>0</v>
      </c>
    </row>
    <row r="36" spans="1:15">
      <c r="A36">
        <v>202410</v>
      </c>
      <c r="B36" s="1">
        <f t="shared" si="0"/>
        <v>7833</v>
      </c>
      <c r="C36" s="1">
        <f t="shared" si="1"/>
        <v>5000</v>
      </c>
      <c r="D36">
        <v>18000</v>
      </c>
      <c r="E36" s="1">
        <v>5000</v>
      </c>
      <c r="F36" s="1">
        <v>0</v>
      </c>
      <c r="G36" s="1">
        <f t="shared" si="2"/>
        <v>10167</v>
      </c>
      <c r="H36" s="1">
        <v>0</v>
      </c>
      <c r="I36" s="1">
        <v>0</v>
      </c>
      <c r="J36">
        <v>0</v>
      </c>
      <c r="K36">
        <v>0</v>
      </c>
      <c r="L36">
        <v>9446</v>
      </c>
      <c r="M36">
        <v>0</v>
      </c>
      <c r="N36">
        <v>721</v>
      </c>
      <c r="O36">
        <v>0</v>
      </c>
    </row>
    <row r="37" spans="1:15">
      <c r="A37">
        <v>202411</v>
      </c>
      <c r="B37" s="1">
        <f t="shared" si="0"/>
        <v>2165</v>
      </c>
      <c r="C37" s="1">
        <f t="shared" si="1"/>
        <v>5000</v>
      </c>
      <c r="D37">
        <v>18000</v>
      </c>
      <c r="E37" s="1">
        <v>5000</v>
      </c>
      <c r="F37" s="1">
        <v>0</v>
      </c>
      <c r="G37" s="1">
        <f t="shared" si="2"/>
        <v>15835</v>
      </c>
      <c r="H37" s="1">
        <v>0</v>
      </c>
      <c r="I37" s="1">
        <v>0</v>
      </c>
      <c r="J37">
        <v>0</v>
      </c>
      <c r="K37">
        <v>0</v>
      </c>
      <c r="L37">
        <v>9969</v>
      </c>
      <c r="M37">
        <v>0</v>
      </c>
      <c r="N37">
        <v>5231</v>
      </c>
      <c r="O37">
        <v>635</v>
      </c>
    </row>
    <row r="38" spans="1:15">
      <c r="A38">
        <v>202412</v>
      </c>
      <c r="B38" s="1">
        <f t="shared" si="0"/>
        <v>4941</v>
      </c>
      <c r="C38" s="1">
        <f t="shared" si="1"/>
        <v>8000</v>
      </c>
      <c r="D38">
        <v>18000</v>
      </c>
      <c r="E38" s="1">
        <v>5000</v>
      </c>
      <c r="F38" s="1">
        <v>0</v>
      </c>
      <c r="G38" s="1">
        <f t="shared" si="2"/>
        <v>13059</v>
      </c>
      <c r="H38" s="1">
        <v>3000</v>
      </c>
      <c r="I38" s="1">
        <v>0</v>
      </c>
      <c r="J38">
        <v>0</v>
      </c>
      <c r="K38">
        <v>635</v>
      </c>
      <c r="L38">
        <v>9923</v>
      </c>
      <c r="M38">
        <v>0</v>
      </c>
      <c r="N38">
        <v>2501</v>
      </c>
      <c r="O38">
        <v>0</v>
      </c>
    </row>
    <row r="39" spans="1:15">
      <c r="A39">
        <v>202501</v>
      </c>
      <c r="B39" s="1">
        <f t="shared" si="0"/>
        <v>4607</v>
      </c>
      <c r="C39" s="1">
        <f t="shared" si="1"/>
        <v>15000</v>
      </c>
      <c r="D39">
        <v>18000</v>
      </c>
      <c r="E39" s="1">
        <v>5000</v>
      </c>
      <c r="F39" s="1">
        <v>0</v>
      </c>
      <c r="G39" s="1">
        <f t="shared" si="2"/>
        <v>13393</v>
      </c>
      <c r="H39" s="1">
        <v>10000</v>
      </c>
      <c r="I39" s="1">
        <v>0</v>
      </c>
      <c r="J39">
        <v>0</v>
      </c>
      <c r="K39">
        <v>570</v>
      </c>
      <c r="L39">
        <v>9835</v>
      </c>
      <c r="M39">
        <v>0</v>
      </c>
      <c r="N39">
        <v>2988</v>
      </c>
      <c r="O39">
        <v>0</v>
      </c>
    </row>
    <row r="40" spans="1:15">
      <c r="A40">
        <v>202502</v>
      </c>
      <c r="B40" s="1">
        <f t="shared" si="0"/>
        <v>10652</v>
      </c>
      <c r="C40" s="1">
        <f t="shared" si="1"/>
        <v>5000</v>
      </c>
      <c r="D40">
        <v>18000</v>
      </c>
      <c r="E40" s="1">
        <v>5000</v>
      </c>
      <c r="F40" s="1">
        <v>0</v>
      </c>
      <c r="G40" s="1">
        <f t="shared" si="2"/>
        <v>7348</v>
      </c>
      <c r="H40" s="1">
        <v>0</v>
      </c>
      <c r="I40" s="1">
        <v>0</v>
      </c>
      <c r="J40">
        <v>0</v>
      </c>
      <c r="K40">
        <v>0</v>
      </c>
      <c r="L40">
        <v>5034</v>
      </c>
      <c r="M40">
        <v>0</v>
      </c>
      <c r="N40">
        <v>2314</v>
      </c>
      <c r="O40">
        <v>0</v>
      </c>
    </row>
    <row r="41" spans="1:15">
      <c r="A41">
        <v>202503</v>
      </c>
      <c r="B41" s="1">
        <f t="shared" si="0"/>
        <v>17837</v>
      </c>
      <c r="C41" s="1">
        <f t="shared" si="1"/>
        <v>5000</v>
      </c>
      <c r="D41">
        <v>18000</v>
      </c>
      <c r="E41" s="1">
        <v>5000</v>
      </c>
      <c r="F41" s="1">
        <v>7000</v>
      </c>
      <c r="G41" s="1">
        <f t="shared" si="2"/>
        <v>7163</v>
      </c>
      <c r="H41" s="1">
        <v>0</v>
      </c>
      <c r="I41" s="1">
        <v>0</v>
      </c>
      <c r="J41">
        <v>0</v>
      </c>
      <c r="K41">
        <v>115</v>
      </c>
      <c r="L41">
        <v>2536</v>
      </c>
      <c r="M41">
        <v>0</v>
      </c>
      <c r="N41">
        <v>4512</v>
      </c>
      <c r="O41">
        <v>0</v>
      </c>
    </row>
    <row r="42" spans="1:15">
      <c r="A42">
        <v>202504</v>
      </c>
      <c r="B42" s="1">
        <f t="shared" si="0"/>
        <v>3803</v>
      </c>
      <c r="C42" s="1">
        <f t="shared" si="1"/>
        <v>5000</v>
      </c>
      <c r="D42">
        <v>18000</v>
      </c>
      <c r="E42" s="1">
        <v>5000</v>
      </c>
      <c r="F42" s="1">
        <v>0</v>
      </c>
      <c r="G42" s="1">
        <f t="shared" si="2"/>
        <v>14197</v>
      </c>
      <c r="H42" s="1">
        <v>0</v>
      </c>
      <c r="I42" s="1">
        <v>0</v>
      </c>
      <c r="J42">
        <v>0</v>
      </c>
      <c r="K42">
        <v>550</v>
      </c>
      <c r="L42">
        <v>7284</v>
      </c>
      <c r="M42">
        <v>0</v>
      </c>
      <c r="N42">
        <v>6363</v>
      </c>
      <c r="O42">
        <v>0</v>
      </c>
    </row>
    <row r="43" spans="1:15">
      <c r="A43">
        <v>202505</v>
      </c>
      <c r="B43" s="1">
        <f t="shared" si="0"/>
        <v>8084</v>
      </c>
      <c r="C43" s="1">
        <f t="shared" si="1"/>
        <v>5000</v>
      </c>
      <c r="D43">
        <v>18000</v>
      </c>
      <c r="E43" s="1">
        <v>5000</v>
      </c>
      <c r="F43" s="1">
        <v>0</v>
      </c>
      <c r="G43" s="1">
        <f t="shared" si="2"/>
        <v>9916</v>
      </c>
      <c r="H43" s="1">
        <v>0</v>
      </c>
      <c r="I43" s="1">
        <v>0</v>
      </c>
      <c r="J43">
        <v>0</v>
      </c>
      <c r="K43">
        <v>482</v>
      </c>
      <c r="L43">
        <v>6004</v>
      </c>
      <c r="M43">
        <v>0</v>
      </c>
      <c r="N43">
        <v>3430</v>
      </c>
      <c r="O43">
        <v>0</v>
      </c>
    </row>
    <row r="44" spans="1:15">
      <c r="A44">
        <v>202506</v>
      </c>
      <c r="B44" s="1">
        <f t="shared" si="0"/>
        <v>18671</v>
      </c>
      <c r="C44" s="1">
        <f t="shared" si="1"/>
        <v>5000</v>
      </c>
      <c r="D44">
        <v>18000</v>
      </c>
      <c r="E44" s="1">
        <v>5000</v>
      </c>
      <c r="F44" s="1">
        <v>11000</v>
      </c>
      <c r="G44" s="1">
        <f t="shared" si="2"/>
        <v>10329</v>
      </c>
      <c r="H44" s="1">
        <v>0</v>
      </c>
      <c r="I44" s="1">
        <v>0</v>
      </c>
      <c r="J44">
        <v>0</v>
      </c>
      <c r="K44">
        <v>432</v>
      </c>
      <c r="L44">
        <v>6351</v>
      </c>
      <c r="M44">
        <v>0</v>
      </c>
      <c r="N44">
        <v>3546</v>
      </c>
      <c r="O44">
        <v>0</v>
      </c>
    </row>
    <row r="45" spans="1:15">
      <c r="A45">
        <v>202507</v>
      </c>
      <c r="B45" s="1">
        <f t="shared" si="0"/>
        <v>12866</v>
      </c>
      <c r="C45" s="1">
        <f t="shared" si="1"/>
        <v>5000</v>
      </c>
      <c r="D45">
        <v>18000</v>
      </c>
      <c r="E45" s="1">
        <v>5000</v>
      </c>
      <c r="F45" s="1">
        <v>9000</v>
      </c>
      <c r="G45" s="1">
        <f t="shared" si="2"/>
        <v>14134</v>
      </c>
      <c r="H45" s="1">
        <v>0</v>
      </c>
      <c r="I45" s="1">
        <v>0</v>
      </c>
      <c r="J45">
        <v>0</v>
      </c>
      <c r="K45">
        <v>320</v>
      </c>
      <c r="L45">
        <v>9652</v>
      </c>
      <c r="M45">
        <v>0</v>
      </c>
      <c r="N45">
        <v>4162</v>
      </c>
      <c r="O45">
        <v>0</v>
      </c>
    </row>
    <row r="46" spans="1:15">
      <c r="A46">
        <v>202508</v>
      </c>
      <c r="B46" s="1">
        <f t="shared" si="0"/>
        <v>9874</v>
      </c>
      <c r="C46" s="1">
        <f t="shared" si="1"/>
        <v>5000</v>
      </c>
      <c r="D46">
        <v>18000</v>
      </c>
      <c r="E46" s="1">
        <v>5000</v>
      </c>
      <c r="F46" s="1">
        <v>3000</v>
      </c>
      <c r="G46" s="1">
        <f t="shared" si="2"/>
        <v>11126</v>
      </c>
      <c r="H46" s="1">
        <v>0</v>
      </c>
      <c r="I46" s="1">
        <v>0</v>
      </c>
      <c r="J46">
        <v>0</v>
      </c>
      <c r="K46">
        <v>0</v>
      </c>
      <c r="L46">
        <v>8226</v>
      </c>
      <c r="M46">
        <v>0</v>
      </c>
      <c r="N46">
        <v>2900</v>
      </c>
      <c r="O46">
        <v>0</v>
      </c>
    </row>
    <row r="47" spans="1:15">
      <c r="A47">
        <v>202509</v>
      </c>
      <c r="B47" s="1">
        <f t="shared" si="0"/>
        <v>13926</v>
      </c>
      <c r="C47" s="1">
        <f t="shared" si="1"/>
        <v>5000</v>
      </c>
      <c r="D47">
        <v>23000</v>
      </c>
      <c r="E47" s="1">
        <v>5000</v>
      </c>
      <c r="F47" s="1">
        <v>0</v>
      </c>
      <c r="G47" s="1">
        <f t="shared" si="2"/>
        <v>9074</v>
      </c>
      <c r="H47" s="1">
        <v>0</v>
      </c>
      <c r="I47" s="1">
        <v>0</v>
      </c>
      <c r="J47">
        <v>0</v>
      </c>
      <c r="K47">
        <v>0</v>
      </c>
      <c r="L47">
        <v>1409</v>
      </c>
      <c r="M47">
        <v>0</v>
      </c>
      <c r="N47">
        <v>7665</v>
      </c>
      <c r="O47">
        <v>0</v>
      </c>
    </row>
    <row r="48" spans="1:15">
      <c r="A48">
        <v>202510</v>
      </c>
      <c r="B48" s="1">
        <f t="shared" si="0"/>
        <v>8586</v>
      </c>
      <c r="C48" s="1">
        <f t="shared" si="1"/>
        <v>5000</v>
      </c>
      <c r="D48">
        <v>23000</v>
      </c>
      <c r="E48" s="1">
        <v>5000</v>
      </c>
      <c r="F48" s="1">
        <v>0</v>
      </c>
      <c r="G48" s="1">
        <f t="shared" si="2"/>
        <v>14414</v>
      </c>
      <c r="H48" s="1">
        <v>0</v>
      </c>
      <c r="I48" s="1">
        <v>0</v>
      </c>
      <c r="J48">
        <v>0</v>
      </c>
      <c r="K48">
        <v>0</v>
      </c>
      <c r="L48">
        <v>9142</v>
      </c>
      <c r="M48">
        <v>0</v>
      </c>
      <c r="N48">
        <v>5272</v>
      </c>
      <c r="O48">
        <v>0</v>
      </c>
    </row>
    <row r="49" spans="1:15">
      <c r="A49">
        <v>202511</v>
      </c>
      <c r="B49" s="1">
        <f t="shared" si="0"/>
        <v>11025</v>
      </c>
      <c r="C49" s="1">
        <f t="shared" si="1"/>
        <v>5000</v>
      </c>
      <c r="D49">
        <v>23000</v>
      </c>
      <c r="E49" s="1">
        <v>5000</v>
      </c>
      <c r="F49" s="1">
        <v>0</v>
      </c>
      <c r="G49" s="1">
        <f t="shared" si="2"/>
        <v>11975</v>
      </c>
      <c r="H49" s="1">
        <v>0</v>
      </c>
      <c r="I49" s="1">
        <v>0</v>
      </c>
      <c r="J49">
        <v>0</v>
      </c>
      <c r="K49">
        <v>0</v>
      </c>
      <c r="L49">
        <v>7379</v>
      </c>
      <c r="M49">
        <v>0</v>
      </c>
      <c r="N49">
        <v>4596</v>
      </c>
      <c r="O49">
        <v>0</v>
      </c>
    </row>
    <row r="50" spans="1:15">
      <c r="A50">
        <v>202512</v>
      </c>
      <c r="B50" s="1">
        <f t="shared" si="0"/>
        <v>24486</v>
      </c>
      <c r="C50" s="1">
        <f t="shared" si="1"/>
        <v>5000</v>
      </c>
      <c r="D50">
        <v>23000</v>
      </c>
      <c r="E50" s="1">
        <v>5000</v>
      </c>
      <c r="F50" s="1">
        <v>20000</v>
      </c>
      <c r="G50" s="1">
        <f t="shared" si="2"/>
        <v>18514</v>
      </c>
      <c r="H50" s="1">
        <v>0</v>
      </c>
      <c r="I50" s="1">
        <v>0</v>
      </c>
      <c r="J50">
        <v>0</v>
      </c>
      <c r="K50">
        <v>0</v>
      </c>
      <c r="L50">
        <v>7589</v>
      </c>
      <c r="M50">
        <v>0</v>
      </c>
      <c r="N50">
        <v>10925</v>
      </c>
      <c r="O50">
        <v>0</v>
      </c>
    </row>
    <row r="51" spans="1:15" s="2" customFormat="1">
      <c r="A51" s="2">
        <v>202601</v>
      </c>
      <c r="B51" s="3">
        <f t="shared" ref="B51" si="3">D51+F51-G51</f>
        <v>9392.1</v>
      </c>
      <c r="C51" s="3">
        <f t="shared" ref="C51" si="4">E51+H51-I51</f>
        <v>5000</v>
      </c>
      <c r="D51" s="2">
        <v>23000</v>
      </c>
      <c r="E51" s="3">
        <v>5000</v>
      </c>
      <c r="F51" s="3"/>
      <c r="G51" s="3">
        <f t="shared" si="2"/>
        <v>13607.9</v>
      </c>
      <c r="H51" s="3"/>
      <c r="I51" s="3"/>
      <c r="L51" s="2">
        <v>8189.9</v>
      </c>
      <c r="N51" s="2">
        <v>5418</v>
      </c>
    </row>
    <row r="52" spans="1:15">
      <c r="A52">
        <v>202602</v>
      </c>
      <c r="B52" s="1">
        <f t="shared" ref="B52:B62" si="5">D52+F52-G52</f>
        <v>23000</v>
      </c>
      <c r="C52" s="1">
        <f t="shared" ref="C52:C62" si="6">E52+H52-I52</f>
        <v>5000</v>
      </c>
      <c r="D52">
        <v>23000</v>
      </c>
      <c r="E52" s="1">
        <v>5000</v>
      </c>
      <c r="G52" s="1">
        <f t="shared" si="2"/>
        <v>0</v>
      </c>
    </row>
    <row r="53" spans="1:15">
      <c r="A53">
        <v>202603</v>
      </c>
      <c r="B53" s="1">
        <f t="shared" si="5"/>
        <v>23000</v>
      </c>
      <c r="C53" s="1">
        <f t="shared" si="6"/>
        <v>5000</v>
      </c>
      <c r="D53">
        <v>23000</v>
      </c>
      <c r="E53" s="1">
        <v>5000</v>
      </c>
      <c r="G53" s="1">
        <f t="shared" si="2"/>
        <v>0</v>
      </c>
    </row>
    <row r="54" spans="1:15">
      <c r="A54">
        <v>202604</v>
      </c>
      <c r="B54" s="1">
        <f t="shared" si="5"/>
        <v>23000</v>
      </c>
      <c r="C54" s="1">
        <f t="shared" si="6"/>
        <v>5000</v>
      </c>
      <c r="D54">
        <v>23000</v>
      </c>
      <c r="E54" s="1">
        <v>5000</v>
      </c>
      <c r="G54" s="1">
        <f t="shared" si="2"/>
        <v>0</v>
      </c>
    </row>
    <row r="55" spans="1:15">
      <c r="A55">
        <v>202605</v>
      </c>
      <c r="B55" s="1">
        <f t="shared" si="5"/>
        <v>23000</v>
      </c>
      <c r="C55" s="1">
        <f t="shared" si="6"/>
        <v>5000</v>
      </c>
      <c r="D55">
        <v>23000</v>
      </c>
      <c r="E55" s="1">
        <v>5000</v>
      </c>
      <c r="G55" s="1">
        <f t="shared" si="2"/>
        <v>0</v>
      </c>
    </row>
    <row r="56" spans="1:15">
      <c r="A56">
        <v>202606</v>
      </c>
      <c r="B56" s="1">
        <f t="shared" si="5"/>
        <v>23000</v>
      </c>
      <c r="C56" s="1">
        <f t="shared" si="6"/>
        <v>5000</v>
      </c>
      <c r="D56">
        <v>23000</v>
      </c>
      <c r="E56" s="1">
        <v>5000</v>
      </c>
      <c r="G56" s="1">
        <f t="shared" si="2"/>
        <v>0</v>
      </c>
    </row>
    <row r="57" spans="1:15">
      <c r="A57">
        <v>202607</v>
      </c>
      <c r="B57" s="1">
        <f t="shared" si="5"/>
        <v>23000</v>
      </c>
      <c r="C57" s="1">
        <f t="shared" si="6"/>
        <v>5000</v>
      </c>
      <c r="D57">
        <v>23000</v>
      </c>
      <c r="E57" s="1">
        <v>5000</v>
      </c>
      <c r="G57" s="1">
        <f t="shared" si="2"/>
        <v>0</v>
      </c>
    </row>
    <row r="58" spans="1:15">
      <c r="A58">
        <v>202608</v>
      </c>
      <c r="B58" s="1">
        <f t="shared" si="5"/>
        <v>23000</v>
      </c>
      <c r="C58" s="1">
        <f t="shared" si="6"/>
        <v>5000</v>
      </c>
      <c r="D58">
        <v>23000</v>
      </c>
      <c r="E58" s="1">
        <v>5000</v>
      </c>
      <c r="G58" s="1">
        <f t="shared" si="2"/>
        <v>0</v>
      </c>
    </row>
    <row r="59" spans="1:15">
      <c r="A59">
        <v>202609</v>
      </c>
      <c r="B59" s="1">
        <f t="shared" si="5"/>
        <v>23000</v>
      </c>
      <c r="C59" s="1">
        <f t="shared" si="6"/>
        <v>5000</v>
      </c>
      <c r="D59">
        <v>23000</v>
      </c>
      <c r="E59" s="1">
        <v>5000</v>
      </c>
      <c r="G59" s="1">
        <f t="shared" si="2"/>
        <v>0</v>
      </c>
    </row>
    <row r="60" spans="1:15">
      <c r="A60">
        <v>202610</v>
      </c>
      <c r="B60" s="1">
        <f t="shared" si="5"/>
        <v>23000</v>
      </c>
      <c r="C60" s="1">
        <f t="shared" si="6"/>
        <v>5000</v>
      </c>
      <c r="D60">
        <v>23000</v>
      </c>
      <c r="E60" s="1">
        <v>5000</v>
      </c>
      <c r="G60" s="1">
        <f t="shared" si="2"/>
        <v>0</v>
      </c>
    </row>
    <row r="61" spans="1:15">
      <c r="A61">
        <v>202611</v>
      </c>
      <c r="B61" s="1">
        <f t="shared" si="5"/>
        <v>23000</v>
      </c>
      <c r="C61" s="1">
        <f t="shared" si="6"/>
        <v>5000</v>
      </c>
      <c r="D61">
        <v>23000</v>
      </c>
      <c r="E61" s="1">
        <v>5000</v>
      </c>
      <c r="G61" s="1">
        <f t="shared" si="2"/>
        <v>0</v>
      </c>
    </row>
    <row r="62" spans="1:15">
      <c r="A62">
        <v>202612</v>
      </c>
      <c r="B62" s="1">
        <f t="shared" si="5"/>
        <v>23000</v>
      </c>
      <c r="C62" s="1">
        <f t="shared" si="6"/>
        <v>5000</v>
      </c>
      <c r="D62">
        <v>23000</v>
      </c>
      <c r="E62" s="1">
        <v>5000</v>
      </c>
      <c r="G62" s="1">
        <f t="shared" si="2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697EB-E9A2-43E9-B8A0-2E9328DEF14C}">
  <dimension ref="A1:E34"/>
  <sheetViews>
    <sheetView workbookViewId="0">
      <selection activeCell="H19" sqref="H19"/>
    </sheetView>
  </sheetViews>
  <sheetFormatPr defaultRowHeight="14"/>
  <cols>
    <col min="1" max="1" width="12.5" bestFit="1" customWidth="1"/>
    <col min="2" max="2" width="8.58203125" bestFit="1" customWidth="1"/>
    <col min="3" max="3" width="9" bestFit="1" customWidth="1"/>
    <col min="4" max="4" width="8.5" bestFit="1" customWidth="1"/>
    <col min="5" max="5" width="19.25" bestFit="1" customWidth="1"/>
  </cols>
  <sheetData>
    <row r="1" spans="1:5">
      <c r="A1" t="s">
        <v>0</v>
      </c>
      <c r="B1" t="s">
        <v>16</v>
      </c>
      <c r="C1" t="s">
        <v>17</v>
      </c>
      <c r="D1" t="s">
        <v>15</v>
      </c>
      <c r="E1" t="s">
        <v>18</v>
      </c>
    </row>
    <row r="2" spans="1:5">
      <c r="A2">
        <v>202205</v>
      </c>
      <c r="B2" t="s">
        <v>19</v>
      </c>
      <c r="C2" t="s">
        <v>21</v>
      </c>
      <c r="D2">
        <v>2000</v>
      </c>
      <c r="E2" t="s">
        <v>20</v>
      </c>
    </row>
    <row r="3" spans="1:5">
      <c r="A3">
        <v>202112</v>
      </c>
      <c r="B3" t="s">
        <v>19</v>
      </c>
      <c r="C3" t="s">
        <v>21</v>
      </c>
      <c r="D3">
        <v>9600</v>
      </c>
      <c r="E3" t="s">
        <v>22</v>
      </c>
    </row>
    <row r="4" spans="1:5">
      <c r="A4">
        <v>202201</v>
      </c>
      <c r="B4" t="s">
        <v>19</v>
      </c>
      <c r="C4" t="s">
        <v>21</v>
      </c>
      <c r="D4">
        <v>9600</v>
      </c>
      <c r="E4" t="s">
        <v>22</v>
      </c>
    </row>
    <row r="5" spans="1:5">
      <c r="A5">
        <v>202202</v>
      </c>
      <c r="B5" t="s">
        <v>19</v>
      </c>
      <c r="C5" t="s">
        <v>21</v>
      </c>
      <c r="D5">
        <v>9600</v>
      </c>
      <c r="E5" t="s">
        <v>22</v>
      </c>
    </row>
    <row r="6" spans="1:5">
      <c r="A6">
        <v>202204</v>
      </c>
      <c r="B6" t="s">
        <v>19</v>
      </c>
      <c r="C6" t="s">
        <v>21</v>
      </c>
      <c r="D6">
        <v>9900</v>
      </c>
      <c r="E6" t="s">
        <v>22</v>
      </c>
    </row>
    <row r="7" spans="1:5">
      <c r="A7">
        <v>202205</v>
      </c>
      <c r="B7" t="s">
        <v>19</v>
      </c>
      <c r="C7" t="s">
        <v>21</v>
      </c>
      <c r="D7">
        <v>9350</v>
      </c>
      <c r="E7" t="s">
        <v>22</v>
      </c>
    </row>
    <row r="8" spans="1:5">
      <c r="A8">
        <v>202206</v>
      </c>
      <c r="B8" t="s">
        <v>19</v>
      </c>
      <c r="C8" t="s">
        <v>21</v>
      </c>
      <c r="D8">
        <v>9600</v>
      </c>
      <c r="E8" t="s">
        <v>22</v>
      </c>
    </row>
    <row r="9" spans="1:5">
      <c r="A9">
        <v>202207</v>
      </c>
      <c r="B9" t="s">
        <v>19</v>
      </c>
      <c r="C9" t="s">
        <v>21</v>
      </c>
      <c r="D9">
        <v>9600</v>
      </c>
      <c r="E9" t="s">
        <v>22</v>
      </c>
    </row>
    <row r="10" spans="1:5">
      <c r="A10">
        <v>202208</v>
      </c>
      <c r="B10" t="s">
        <v>19</v>
      </c>
      <c r="C10" t="s">
        <v>21</v>
      </c>
      <c r="D10">
        <v>9600</v>
      </c>
      <c r="E10" t="s">
        <v>22</v>
      </c>
    </row>
    <row r="11" spans="1:5">
      <c r="A11">
        <v>202209</v>
      </c>
      <c r="B11" t="s">
        <v>19</v>
      </c>
      <c r="C11" t="s">
        <v>21</v>
      </c>
      <c r="D11">
        <v>9600</v>
      </c>
      <c r="E11" t="s">
        <v>22</v>
      </c>
    </row>
    <row r="12" spans="1:5">
      <c r="A12">
        <v>202210</v>
      </c>
      <c r="B12" t="s">
        <v>19</v>
      </c>
      <c r="C12" t="s">
        <v>21</v>
      </c>
      <c r="D12">
        <v>10800</v>
      </c>
      <c r="E12" t="s">
        <v>22</v>
      </c>
    </row>
    <row r="13" spans="1:5">
      <c r="A13">
        <v>202401</v>
      </c>
      <c r="B13" t="s">
        <v>19</v>
      </c>
      <c r="C13" t="s">
        <v>21</v>
      </c>
      <c r="D13">
        <v>2082.19</v>
      </c>
      <c r="E13" t="s">
        <v>21</v>
      </c>
    </row>
    <row r="14" spans="1:5">
      <c r="A14">
        <v>202512</v>
      </c>
      <c r="B14" t="s">
        <v>19</v>
      </c>
      <c r="C14" t="s">
        <v>21</v>
      </c>
      <c r="D14">
        <v>20000</v>
      </c>
      <c r="E14" t="s">
        <v>21</v>
      </c>
    </row>
    <row r="15" spans="1:5">
      <c r="A15">
        <v>202503</v>
      </c>
      <c r="B15" t="s">
        <v>19</v>
      </c>
      <c r="C15" t="s">
        <v>21</v>
      </c>
      <c r="D15">
        <v>4000</v>
      </c>
      <c r="E15" t="s">
        <v>23</v>
      </c>
    </row>
    <row r="16" spans="1:5">
      <c r="A16">
        <v>202506</v>
      </c>
      <c r="B16" t="s">
        <v>19</v>
      </c>
      <c r="C16" t="s">
        <v>21</v>
      </c>
      <c r="D16">
        <v>10000</v>
      </c>
      <c r="E16" t="s">
        <v>23</v>
      </c>
    </row>
    <row r="17" spans="1:5">
      <c r="A17">
        <v>202507</v>
      </c>
      <c r="B17" t="s">
        <v>19</v>
      </c>
      <c r="C17" t="s">
        <v>21</v>
      </c>
      <c r="D17">
        <v>9000</v>
      </c>
      <c r="E17" t="s">
        <v>23</v>
      </c>
    </row>
    <row r="18" spans="1:5">
      <c r="A18">
        <v>202508</v>
      </c>
      <c r="B18" t="s">
        <v>19</v>
      </c>
      <c r="C18" t="s">
        <v>21</v>
      </c>
      <c r="D18">
        <v>3000</v>
      </c>
      <c r="E18" t="s">
        <v>23</v>
      </c>
    </row>
    <row r="19" spans="1:5">
      <c r="A19">
        <v>202503</v>
      </c>
      <c r="B19" t="s">
        <v>24</v>
      </c>
      <c r="C19" t="s">
        <v>21</v>
      </c>
      <c r="D19">
        <v>3000</v>
      </c>
      <c r="E19" t="s">
        <v>23</v>
      </c>
    </row>
    <row r="20" spans="1:5">
      <c r="A20">
        <v>202506</v>
      </c>
      <c r="B20" t="s">
        <v>19</v>
      </c>
      <c r="C20" t="s">
        <v>21</v>
      </c>
      <c r="D20">
        <v>1000</v>
      </c>
      <c r="E20" t="s">
        <v>23</v>
      </c>
    </row>
    <row r="21" spans="1:5">
      <c r="A21">
        <v>202408</v>
      </c>
      <c r="B21" t="s">
        <v>19</v>
      </c>
      <c r="C21" t="s">
        <v>21</v>
      </c>
      <c r="D21">
        <v>-5246</v>
      </c>
      <c r="E21" t="s">
        <v>25</v>
      </c>
    </row>
    <row r="22" spans="1:5">
      <c r="A22">
        <v>202205</v>
      </c>
      <c r="B22" t="s">
        <v>39</v>
      </c>
      <c r="C22" t="s">
        <v>21</v>
      </c>
      <c r="D22">
        <v>1000</v>
      </c>
      <c r="E22" t="s">
        <v>21</v>
      </c>
    </row>
    <row r="23" spans="1:5">
      <c r="A23">
        <v>202402</v>
      </c>
      <c r="B23" t="s">
        <v>39</v>
      </c>
      <c r="C23" t="s">
        <v>21</v>
      </c>
      <c r="D23">
        <v>2327</v>
      </c>
      <c r="E23" t="s">
        <v>26</v>
      </c>
    </row>
    <row r="24" spans="1:5">
      <c r="A24">
        <v>202404</v>
      </c>
      <c r="B24" t="s">
        <v>39</v>
      </c>
      <c r="C24" t="s">
        <v>21</v>
      </c>
      <c r="D24">
        <v>7462</v>
      </c>
      <c r="E24" t="s">
        <v>27</v>
      </c>
    </row>
    <row r="25" spans="1:5">
      <c r="A25">
        <v>202305</v>
      </c>
      <c r="B25" t="s">
        <v>39</v>
      </c>
      <c r="C25" t="s">
        <v>21</v>
      </c>
      <c r="D25">
        <v>4000</v>
      </c>
      <c r="E25" t="s">
        <v>28</v>
      </c>
    </row>
    <row r="26" spans="1:5">
      <c r="A26">
        <v>202501</v>
      </c>
      <c r="B26" t="s">
        <v>39</v>
      </c>
      <c r="C26" t="s">
        <v>21</v>
      </c>
      <c r="D26">
        <v>10000</v>
      </c>
      <c r="E26" t="s">
        <v>29</v>
      </c>
    </row>
    <row r="27" spans="1:5">
      <c r="A27">
        <v>202404</v>
      </c>
      <c r="B27" t="s">
        <v>39</v>
      </c>
      <c r="C27" t="s">
        <v>21</v>
      </c>
      <c r="D27">
        <v>1050</v>
      </c>
      <c r="E27" t="s">
        <v>30</v>
      </c>
    </row>
    <row r="28" spans="1:5">
      <c r="A28">
        <v>202306</v>
      </c>
      <c r="B28" t="s">
        <v>39</v>
      </c>
      <c r="C28" t="s">
        <v>21</v>
      </c>
      <c r="D28">
        <v>4000</v>
      </c>
      <c r="E28" t="s">
        <v>31</v>
      </c>
    </row>
    <row r="29" spans="1:5">
      <c r="A29">
        <v>202309</v>
      </c>
      <c r="B29" t="s">
        <v>39</v>
      </c>
      <c r="C29" t="s">
        <v>21</v>
      </c>
      <c r="D29">
        <v>10000</v>
      </c>
      <c r="E29" t="s">
        <v>32</v>
      </c>
    </row>
    <row r="30" spans="1:5">
      <c r="A30">
        <v>202404</v>
      </c>
      <c r="B30" t="s">
        <v>39</v>
      </c>
      <c r="C30" t="s">
        <v>21</v>
      </c>
      <c r="D30">
        <v>3970</v>
      </c>
      <c r="E30" t="s">
        <v>33</v>
      </c>
    </row>
    <row r="31" spans="1:5">
      <c r="A31">
        <v>202412</v>
      </c>
      <c r="B31" t="s">
        <v>39</v>
      </c>
      <c r="C31" t="s">
        <v>21</v>
      </c>
      <c r="D31">
        <v>3000</v>
      </c>
      <c r="E31" t="s">
        <v>34</v>
      </c>
    </row>
    <row r="32" spans="1:5">
      <c r="A32">
        <v>202204</v>
      </c>
      <c r="B32" t="s">
        <v>19</v>
      </c>
      <c r="C32" t="s">
        <v>35</v>
      </c>
      <c r="D32">
        <v>5718</v>
      </c>
      <c r="E32" t="s">
        <v>36</v>
      </c>
    </row>
    <row r="33" spans="1:5">
      <c r="A33">
        <v>202405</v>
      </c>
      <c r="B33" t="s">
        <v>19</v>
      </c>
      <c r="C33" t="s">
        <v>35</v>
      </c>
      <c r="D33">
        <v>5864</v>
      </c>
      <c r="E33" t="s">
        <v>37</v>
      </c>
    </row>
    <row r="34" spans="1:5">
      <c r="A34">
        <v>202406</v>
      </c>
      <c r="B34" t="s">
        <v>19</v>
      </c>
      <c r="C34" t="s">
        <v>35</v>
      </c>
      <c r="D34">
        <v>2083.5</v>
      </c>
      <c r="E34" t="s">
        <v>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expense_main_fact</vt:lpstr>
      <vt:lpstr>expense_details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Chi Wai</dc:creator>
  <cp:lastModifiedBy>Chan Chi Wai</cp:lastModifiedBy>
  <dcterms:created xsi:type="dcterms:W3CDTF">2026-02-11T04:16:36Z</dcterms:created>
  <dcterms:modified xsi:type="dcterms:W3CDTF">2026-02-11T04:35:14Z</dcterms:modified>
</cp:coreProperties>
</file>